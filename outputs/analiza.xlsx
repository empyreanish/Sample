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radekweber/Downloads/"/>
    </mc:Choice>
  </mc:AlternateContent>
  <xr:revisionPtr revIDLastSave="0" documentId="8_{DBD08217-7F0C-1F44-AE59-F34EF6C0E316}" xr6:coauthVersionLast="47" xr6:coauthVersionMax="47" xr10:uidLastSave="{00000000-0000-0000-0000-000000000000}"/>
  <bookViews>
    <workbookView xWindow="5080" yWindow="3480" windowWidth="28240" windowHeight="17240" activeTab="1" xr2:uid="{BE77EA3A-85CF-B240-B480-A1E03ACB332E}"/>
  </bookViews>
  <sheets>
    <sheet name="Arkusz Wag" sheetId="1" r:id="rId1"/>
    <sheet name="Ranking Miast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" i="1" l="1"/>
  <c r="U5" i="2" s="1"/>
  <c r="D6" i="1"/>
  <c r="U6" i="2" s="1"/>
  <c r="D7" i="1"/>
  <c r="U7" i="2" s="1"/>
  <c r="D8" i="1"/>
  <c r="U8" i="2" s="1"/>
  <c r="D9" i="1"/>
  <c r="U9" i="2" s="1"/>
  <c r="D10" i="1"/>
  <c r="U10" i="2" s="1"/>
  <c r="D11" i="1"/>
  <c r="U11" i="2" s="1"/>
  <c r="D12" i="1"/>
  <c r="U12" i="2" s="1"/>
  <c r="E5" i="1"/>
  <c r="V5" i="2" s="1"/>
  <c r="E6" i="1"/>
  <c r="V6" i="2" s="1"/>
  <c r="E7" i="1"/>
  <c r="V7" i="2" s="1"/>
  <c r="E8" i="1"/>
  <c r="V8" i="2" s="1"/>
  <c r="E9" i="1"/>
  <c r="V9" i="2" s="1"/>
  <c r="E10" i="1"/>
  <c r="V10" i="2" s="1"/>
  <c r="E11" i="1"/>
  <c r="V11" i="2" s="1"/>
  <c r="E12" i="1"/>
  <c r="V12" i="2" s="1"/>
  <c r="E4" i="1"/>
  <c r="V4" i="2" s="1"/>
  <c r="D4" i="1"/>
  <c r="U4" i="2" s="1"/>
  <c r="O18" i="2" l="1"/>
  <c r="I18" i="2"/>
  <c r="H18" i="2"/>
  <c r="B18" i="2"/>
  <c r="G18" i="2"/>
  <c r="N18" i="2"/>
  <c r="F18" i="2"/>
  <c r="M18" i="2"/>
  <c r="E18" i="2"/>
  <c r="L18" i="2"/>
  <c r="D18" i="2"/>
  <c r="K18" i="2"/>
  <c r="C18" i="2"/>
  <c r="J18" i="2"/>
</calcChain>
</file>

<file path=xl/sharedStrings.xml><?xml version="1.0" encoding="utf-8"?>
<sst xmlns="http://schemas.openxmlformats.org/spreadsheetml/2006/main" count="49" uniqueCount="36">
  <si>
    <t>Aga</t>
  </si>
  <si>
    <t>Radek</t>
  </si>
  <si>
    <t>Wagi</t>
  </si>
  <si>
    <t xml:space="preserve">Edukacja </t>
  </si>
  <si>
    <t>Dostepnosc Uslug</t>
  </si>
  <si>
    <t>Odleglosc od Krakowa</t>
  </si>
  <si>
    <t>Odleglosc od Ostroznicy</t>
  </si>
  <si>
    <t>"Fajnosc" miejsca</t>
  </si>
  <si>
    <t>Aga norm</t>
  </si>
  <si>
    <t>Radek norm</t>
  </si>
  <si>
    <t>Nysa</t>
  </si>
  <si>
    <t>Prudnik</t>
  </si>
  <si>
    <t>Cena dzialki</t>
  </si>
  <si>
    <t>Bielsko-Biała</t>
  </si>
  <si>
    <t>Racibórz</t>
  </si>
  <si>
    <t>Opole</t>
  </si>
  <si>
    <t>Atrakcyjnosc miejsca</t>
  </si>
  <si>
    <t>Pszczyna</t>
  </si>
  <si>
    <t xml:space="preserve">Zasada - wpisujesz w wagi ważność jakichś rzeczy dla Ciebie, skala od -5 do 5, wagi znormalizują się automatycznie. Jeśli coś jest dla Ciebie neutralne, dajesz zero, jeśli ma jakąś ważność, dajesz dodatnią liczbę, jeśli jest dla Ciebie do zignorowania, dajesz wartość ujemną. </t>
  </si>
  <si>
    <t>Ocena Finalna</t>
  </si>
  <si>
    <t>Tutaj oceniane są miasta po naszym uzgodnieniu od 1 do 10. Potem po przemnożeniu na dole wyskakuje ocena jaką dostało one w tej analizie</t>
  </si>
  <si>
    <t>Strzelce Opolskie</t>
  </si>
  <si>
    <t>Świdnica</t>
  </si>
  <si>
    <t>Cieszyn</t>
  </si>
  <si>
    <t>Wadowice</t>
  </si>
  <si>
    <t>Chrzanów</t>
  </si>
  <si>
    <t>Zostan w Krakowie</t>
  </si>
  <si>
    <t>Gdów</t>
  </si>
  <si>
    <t>Miejsce</t>
  </si>
  <si>
    <t>Osobiste nastawienie</t>
  </si>
  <si>
    <t>Czynnik 3</t>
  </si>
  <si>
    <t>Aga Norm</t>
  </si>
  <si>
    <t>Radek Norm</t>
  </si>
  <si>
    <t>Transport</t>
  </si>
  <si>
    <t>Debrzno</t>
  </si>
  <si>
    <t>"Fajnosc" miejsca - rekreacyjnie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</si>
</sst>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charset val="238"/>
      <scheme val="minor"/>
    </font>
    <font>
      <b/>
      <sz val="18"/>
      <color theme="1"/>
      <name val="Aptos Narrow"/>
      <scheme val="minor"/>
    </font>
    <font>
      <b/>
      <sz val="16"/>
      <color theme="1"/>
      <name val="Aptos Narrow"/>
      <scheme val="minor"/>
    </font>
    <font>
      <sz val="14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NumberFormat="1" applyFont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39002-DC14-7349-8AC7-DB2D086B3E31}">
  <dimension ref="A1:K12"/>
  <sheetViews>
    <sheetView workbookViewId="0">
      <selection activeCell="C9" sqref="C9"/>
    </sheetView>
  </sheetViews>
  <sheetFormatPr baseColWidth="10" defaultRowHeight="16" x14ac:dyDescent="0.2"/>
  <cols>
    <col min="1" max="1" width="29.6640625" customWidth="1"/>
    <col min="4" max="4" width="13.6640625" customWidth="1"/>
    <col min="11" max="11" width="42.33203125" customWidth="1"/>
  </cols>
  <sheetData>
    <row r="1" spans="1:11" x14ac:dyDescent="0.2">
      <c r="A1" s="3" t="s">
        <v>18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79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x14ac:dyDescent="0.2">
      <c r="A3" t="s">
        <v>2</v>
      </c>
      <c r="B3" t="s">
        <v>0</v>
      </c>
      <c r="C3" t="s">
        <v>1</v>
      </c>
      <c r="D3" t="s">
        <v>8</v>
      </c>
      <c r="E3" t="s">
        <v>9</v>
      </c>
    </row>
    <row r="4" spans="1:11" x14ac:dyDescent="0.2">
      <c r="A4" t="s">
        <v>3</v>
      </c>
      <c r="B4">
        <v>3</v>
      </c>
      <c r="C4">
        <v>2</v>
      </c>
      <c r="D4">
        <f>B4/SUM($B$4:$B$15)</f>
        <v>0.12</v>
      </c>
      <c r="E4">
        <f>C4/SUM($C$4:$C$15)</f>
        <v>7.6923076923076927E-2</v>
      </c>
    </row>
    <row r="5" spans="1:11" x14ac:dyDescent="0.2">
      <c r="A5" t="s">
        <v>4</v>
      </c>
      <c r="B5">
        <v>4</v>
      </c>
      <c r="C5">
        <v>3</v>
      </c>
      <c r="D5">
        <f t="shared" ref="D5:D12" si="0">B5/SUM($B$4:$B$15)</f>
        <v>0.16</v>
      </c>
      <c r="E5">
        <f t="shared" ref="E5:E12" si="1">C5/SUM($C$4:$C$15)</f>
        <v>0.11538461538461539</v>
      </c>
    </row>
    <row r="6" spans="1:11" x14ac:dyDescent="0.2">
      <c r="A6" t="s">
        <v>5</v>
      </c>
      <c r="B6">
        <v>0</v>
      </c>
      <c r="C6">
        <v>1</v>
      </c>
      <c r="D6">
        <f t="shared" si="0"/>
        <v>0</v>
      </c>
      <c r="E6">
        <f t="shared" si="1"/>
        <v>3.8461538461538464E-2</v>
      </c>
    </row>
    <row r="7" spans="1:11" x14ac:dyDescent="0.2">
      <c r="A7" t="s">
        <v>6</v>
      </c>
      <c r="B7">
        <v>7</v>
      </c>
      <c r="C7">
        <v>2</v>
      </c>
      <c r="D7">
        <f t="shared" si="0"/>
        <v>0.28000000000000003</v>
      </c>
      <c r="E7">
        <f t="shared" si="1"/>
        <v>7.6923076923076927E-2</v>
      </c>
    </row>
    <row r="8" spans="1:11" x14ac:dyDescent="0.2">
      <c r="A8" t="s">
        <v>35</v>
      </c>
      <c r="B8">
        <v>3</v>
      </c>
      <c r="C8">
        <v>7</v>
      </c>
      <c r="D8">
        <f t="shared" si="0"/>
        <v>0.12</v>
      </c>
      <c r="E8">
        <f t="shared" si="1"/>
        <v>0.26923076923076922</v>
      </c>
    </row>
    <row r="9" spans="1:11" x14ac:dyDescent="0.2">
      <c r="A9" t="s">
        <v>12</v>
      </c>
      <c r="B9">
        <v>5</v>
      </c>
      <c r="C9">
        <v>5</v>
      </c>
      <c r="D9">
        <f t="shared" si="0"/>
        <v>0.2</v>
      </c>
      <c r="E9">
        <f t="shared" si="1"/>
        <v>0.19230769230769232</v>
      </c>
    </row>
    <row r="10" spans="1:11" x14ac:dyDescent="0.2">
      <c r="A10" t="s">
        <v>29</v>
      </c>
      <c r="B10">
        <v>2</v>
      </c>
      <c r="C10">
        <v>5</v>
      </c>
      <c r="D10">
        <f t="shared" si="0"/>
        <v>0.08</v>
      </c>
      <c r="E10">
        <f t="shared" si="1"/>
        <v>0.19230769230769232</v>
      </c>
    </row>
    <row r="11" spans="1:11" x14ac:dyDescent="0.2">
      <c r="A11" t="s">
        <v>33</v>
      </c>
      <c r="B11">
        <v>1</v>
      </c>
      <c r="C11">
        <v>1</v>
      </c>
      <c r="D11">
        <f t="shared" si="0"/>
        <v>0.04</v>
      </c>
      <c r="E11">
        <f t="shared" si="1"/>
        <v>3.8461538461538464E-2</v>
      </c>
    </row>
    <row r="12" spans="1:11" x14ac:dyDescent="0.2">
      <c r="D12">
        <f t="shared" si="0"/>
        <v>0</v>
      </c>
      <c r="E12">
        <f t="shared" si="1"/>
        <v>0</v>
      </c>
    </row>
  </sheetData>
  <mergeCells count="1">
    <mergeCell ref="A1:K2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91CBD-8097-A84E-A65B-CDEF20550556}">
  <dimension ref="A1:V18"/>
  <sheetViews>
    <sheetView tabSelected="1" topLeftCell="A3" zoomScale="75" workbookViewId="0">
      <selection activeCell="I14" sqref="I14"/>
    </sheetView>
  </sheetViews>
  <sheetFormatPr baseColWidth="10" defaultRowHeight="16" x14ac:dyDescent="0.2"/>
  <cols>
    <col min="1" max="1" width="32.5" customWidth="1"/>
    <col min="2" max="2" width="21.6640625" customWidth="1"/>
    <col min="3" max="3" width="11" customWidth="1"/>
    <col min="4" max="4" width="18.83203125" customWidth="1"/>
    <col min="5" max="5" width="17.6640625" customWidth="1"/>
    <col min="6" max="6" width="19.83203125" customWidth="1"/>
    <col min="7" max="7" width="14.5" customWidth="1"/>
    <col min="8" max="8" width="13.6640625" customWidth="1"/>
    <col min="9" max="9" width="15.1640625" customWidth="1"/>
    <col min="10" max="10" width="15.6640625" customWidth="1"/>
    <col min="11" max="11" width="18.83203125" customWidth="1"/>
    <col min="12" max="12" width="15.33203125" customWidth="1"/>
    <col min="13" max="13" width="17" customWidth="1"/>
    <col min="14" max="14" width="18.6640625" customWidth="1"/>
    <col min="15" max="19" width="24.5" customWidth="1"/>
    <col min="20" max="20" width="27" customWidth="1"/>
    <col min="21" max="21" width="10.83203125" customWidth="1"/>
    <col min="22" max="22" width="11.33203125" customWidth="1"/>
  </cols>
  <sheetData>
    <row r="1" spans="1:22" ht="16" customHeight="1" x14ac:dyDescent="0.2">
      <c r="A1" s="3" t="s">
        <v>20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22" ht="51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22" ht="50" customHeight="1" x14ac:dyDescent="0.2">
      <c r="A3" s="7" t="s">
        <v>28</v>
      </c>
      <c r="B3" s="7" t="s">
        <v>10</v>
      </c>
      <c r="C3" s="7" t="s">
        <v>11</v>
      </c>
      <c r="D3" s="7" t="s">
        <v>13</v>
      </c>
      <c r="E3" s="7" t="s">
        <v>14</v>
      </c>
      <c r="F3" s="7" t="s">
        <v>15</v>
      </c>
      <c r="G3" s="7" t="s">
        <v>17</v>
      </c>
      <c r="H3" s="7" t="s">
        <v>21</v>
      </c>
      <c r="I3" s="7" t="s">
        <v>22</v>
      </c>
      <c r="J3" s="7" t="s">
        <v>23</v>
      </c>
      <c r="K3" s="7" t="s">
        <v>24</v>
      </c>
      <c r="L3" s="7" t="s">
        <v>25</v>
      </c>
      <c r="M3" s="7" t="s">
        <v>26</v>
      </c>
      <c r="N3" s="7" t="s">
        <v>27</v>
      </c>
      <c r="O3" s="7" t="s">
        <v>34</v>
      </c>
      <c r="P3" s="4"/>
      <c r="Q3" s="4"/>
      <c r="R3" s="4"/>
      <c r="S3" s="4"/>
      <c r="U3" s="1" t="s">
        <v>31</v>
      </c>
      <c r="V3" s="1" t="s">
        <v>32</v>
      </c>
    </row>
    <row r="4" spans="1:22" ht="22" x14ac:dyDescent="0.3">
      <c r="A4" s="9" t="s">
        <v>3</v>
      </c>
      <c r="B4" s="8">
        <v>6</v>
      </c>
      <c r="C4" s="8">
        <v>4</v>
      </c>
      <c r="D4" s="8">
        <v>9.5</v>
      </c>
      <c r="E4" s="8">
        <v>6.5</v>
      </c>
      <c r="F4" s="8">
        <v>9.1999999999999993</v>
      </c>
      <c r="G4" s="10">
        <v>8.5</v>
      </c>
      <c r="H4" s="8">
        <v>6</v>
      </c>
      <c r="I4" s="8">
        <v>7</v>
      </c>
      <c r="J4" s="8">
        <v>6</v>
      </c>
      <c r="K4" s="8">
        <v>7</v>
      </c>
      <c r="L4" s="8">
        <v>8</v>
      </c>
      <c r="M4" s="8">
        <v>10</v>
      </c>
      <c r="N4" s="8">
        <v>5</v>
      </c>
      <c r="O4" s="8">
        <v>5</v>
      </c>
      <c r="T4" t="s">
        <v>3</v>
      </c>
      <c r="U4" s="1">
        <f>'Arkusz Wag'!D4</f>
        <v>0.12</v>
      </c>
      <c r="V4" s="1">
        <f>'Arkusz Wag'!E4</f>
        <v>7.6923076923076927E-2</v>
      </c>
    </row>
    <row r="5" spans="1:22" ht="22" x14ac:dyDescent="0.3">
      <c r="A5" s="9" t="s">
        <v>4</v>
      </c>
      <c r="B5" s="8">
        <v>6</v>
      </c>
      <c r="C5" s="8">
        <v>5</v>
      </c>
      <c r="D5" s="8">
        <v>9</v>
      </c>
      <c r="E5" s="8">
        <v>7</v>
      </c>
      <c r="F5" s="8">
        <v>8</v>
      </c>
      <c r="G5" s="8">
        <v>7.5</v>
      </c>
      <c r="H5" s="8">
        <v>7</v>
      </c>
      <c r="I5" s="8">
        <v>8</v>
      </c>
      <c r="J5" s="8">
        <v>8.5</v>
      </c>
      <c r="K5" s="8">
        <v>8</v>
      </c>
      <c r="L5" s="8">
        <v>7.5</v>
      </c>
      <c r="M5" s="8">
        <v>10</v>
      </c>
      <c r="N5" s="8">
        <v>4</v>
      </c>
      <c r="O5" s="8">
        <v>4</v>
      </c>
      <c r="T5" t="s">
        <v>4</v>
      </c>
      <c r="U5" s="1">
        <f>'Arkusz Wag'!D5</f>
        <v>0.16</v>
      </c>
      <c r="V5" s="1">
        <f>'Arkusz Wag'!E5</f>
        <v>0.11538461538461539</v>
      </c>
    </row>
    <row r="6" spans="1:22" ht="22" x14ac:dyDescent="0.3">
      <c r="A6" s="9" t="s">
        <v>5</v>
      </c>
      <c r="B6" s="8">
        <v>6</v>
      </c>
      <c r="C6" s="8">
        <v>6</v>
      </c>
      <c r="D6" s="8">
        <v>8</v>
      </c>
      <c r="E6" s="8">
        <v>7</v>
      </c>
      <c r="F6" s="8">
        <v>6</v>
      </c>
      <c r="G6" s="8">
        <v>8.5</v>
      </c>
      <c r="H6" s="8">
        <v>7</v>
      </c>
      <c r="I6" s="8">
        <v>4</v>
      </c>
      <c r="J6" s="8">
        <v>7</v>
      </c>
      <c r="K6" s="8">
        <v>10</v>
      </c>
      <c r="L6" s="8">
        <v>10</v>
      </c>
      <c r="M6" s="8">
        <v>10</v>
      </c>
      <c r="N6" s="8">
        <v>10</v>
      </c>
      <c r="O6" s="8">
        <v>1</v>
      </c>
      <c r="T6" t="s">
        <v>5</v>
      </c>
      <c r="U6" s="1">
        <f>'Arkusz Wag'!D6</f>
        <v>0</v>
      </c>
      <c r="V6" s="1">
        <f>'Arkusz Wag'!E6</f>
        <v>3.8461538461538464E-2</v>
      </c>
    </row>
    <row r="7" spans="1:22" ht="22" x14ac:dyDescent="0.3">
      <c r="A7" s="9" t="s">
        <v>6</v>
      </c>
      <c r="B7" s="8">
        <v>8</v>
      </c>
      <c r="C7" s="8">
        <v>10</v>
      </c>
      <c r="D7" s="8">
        <v>0</v>
      </c>
      <c r="E7" s="8">
        <v>10</v>
      </c>
      <c r="F7" s="8">
        <v>10</v>
      </c>
      <c r="G7" s="8">
        <v>6</v>
      </c>
      <c r="H7" s="8">
        <v>10</v>
      </c>
      <c r="I7" s="8">
        <v>0</v>
      </c>
      <c r="J7" s="8">
        <v>4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T7" t="s">
        <v>6</v>
      </c>
      <c r="U7" s="1">
        <f>'Arkusz Wag'!D7</f>
        <v>0.28000000000000003</v>
      </c>
      <c r="V7" s="1">
        <f>'Arkusz Wag'!E7</f>
        <v>7.6923076923076927E-2</v>
      </c>
    </row>
    <row r="8" spans="1:22" ht="22" x14ac:dyDescent="0.3">
      <c r="A8" s="9" t="s">
        <v>16</v>
      </c>
      <c r="B8" s="8">
        <v>7</v>
      </c>
      <c r="C8" s="8">
        <v>5</v>
      </c>
      <c r="D8" s="8">
        <v>8</v>
      </c>
      <c r="E8" s="8">
        <v>5</v>
      </c>
      <c r="F8" s="8">
        <v>4</v>
      </c>
      <c r="G8" s="8">
        <v>7</v>
      </c>
      <c r="H8" s="8">
        <v>3</v>
      </c>
      <c r="I8" s="8">
        <v>8</v>
      </c>
      <c r="J8" s="8">
        <v>7</v>
      </c>
      <c r="K8" s="8">
        <v>8</v>
      </c>
      <c r="L8" s="8">
        <v>4</v>
      </c>
      <c r="M8" s="8">
        <v>10</v>
      </c>
      <c r="N8" s="8">
        <v>7</v>
      </c>
      <c r="O8" s="8">
        <v>10</v>
      </c>
      <c r="T8" t="s">
        <v>7</v>
      </c>
      <c r="U8" s="1">
        <f>'Arkusz Wag'!D8</f>
        <v>0.12</v>
      </c>
      <c r="V8" s="1">
        <f>'Arkusz Wag'!E8</f>
        <v>0.26923076923076922</v>
      </c>
    </row>
    <row r="9" spans="1:22" ht="22" x14ac:dyDescent="0.3">
      <c r="A9" s="9" t="s">
        <v>12</v>
      </c>
      <c r="B9" s="8">
        <v>6</v>
      </c>
      <c r="C9" s="8">
        <v>7</v>
      </c>
      <c r="D9" s="8">
        <v>3</v>
      </c>
      <c r="E9" s="8">
        <v>6</v>
      </c>
      <c r="F9" s="8">
        <v>4</v>
      </c>
      <c r="G9" s="8">
        <v>5</v>
      </c>
      <c r="H9" s="8">
        <v>8</v>
      </c>
      <c r="I9" s="8">
        <v>7</v>
      </c>
      <c r="J9" s="8">
        <v>7</v>
      </c>
      <c r="K9" s="8">
        <v>6</v>
      </c>
      <c r="L9" s="8">
        <v>6</v>
      </c>
      <c r="M9" s="8">
        <v>1</v>
      </c>
      <c r="N9" s="8">
        <v>7</v>
      </c>
      <c r="O9" s="8">
        <v>10</v>
      </c>
      <c r="T9" t="s">
        <v>12</v>
      </c>
      <c r="U9" s="1">
        <f>'Arkusz Wag'!D9</f>
        <v>0.2</v>
      </c>
      <c r="V9" s="1">
        <f>'Arkusz Wag'!E9</f>
        <v>0.19230769230769232</v>
      </c>
    </row>
    <row r="10" spans="1:22" ht="22" x14ac:dyDescent="0.3">
      <c r="A10" s="9" t="s">
        <v>29</v>
      </c>
      <c r="B10" s="8">
        <v>4</v>
      </c>
      <c r="C10" s="8">
        <v>2</v>
      </c>
      <c r="D10" s="8">
        <v>7</v>
      </c>
      <c r="E10" s="8">
        <v>3</v>
      </c>
      <c r="F10" s="8">
        <v>2</v>
      </c>
      <c r="G10" s="8">
        <v>6</v>
      </c>
      <c r="H10" s="8">
        <v>2</v>
      </c>
      <c r="I10" s="8">
        <v>7</v>
      </c>
      <c r="J10" s="8">
        <v>5</v>
      </c>
      <c r="K10" s="8">
        <v>7</v>
      </c>
      <c r="L10" s="8">
        <v>2</v>
      </c>
      <c r="M10" s="8">
        <v>8</v>
      </c>
      <c r="N10" s="8">
        <v>8</v>
      </c>
      <c r="O10" s="8">
        <v>7</v>
      </c>
      <c r="T10" t="s">
        <v>29</v>
      </c>
      <c r="U10" s="1">
        <f>'Arkusz Wag'!D10</f>
        <v>0.08</v>
      </c>
      <c r="V10" s="1">
        <f>'Arkusz Wag'!E10</f>
        <v>0.19230769230769232</v>
      </c>
    </row>
    <row r="11" spans="1:22" ht="22" x14ac:dyDescent="0.3">
      <c r="A11" s="9" t="s">
        <v>33</v>
      </c>
      <c r="B11" s="8">
        <v>4</v>
      </c>
      <c r="C11" s="8">
        <v>5</v>
      </c>
      <c r="D11" s="8">
        <v>6</v>
      </c>
      <c r="E11" s="8">
        <v>6</v>
      </c>
      <c r="F11" s="8">
        <v>8</v>
      </c>
      <c r="G11" s="8">
        <v>7.5</v>
      </c>
      <c r="H11" s="8">
        <v>8</v>
      </c>
      <c r="I11" s="8">
        <v>7</v>
      </c>
      <c r="J11" s="8">
        <v>4</v>
      </c>
      <c r="K11" s="8">
        <v>5</v>
      </c>
      <c r="L11" s="8">
        <v>5</v>
      </c>
      <c r="M11" s="8">
        <v>10</v>
      </c>
      <c r="N11" s="8">
        <v>6</v>
      </c>
      <c r="O11" s="8">
        <v>5</v>
      </c>
      <c r="U11" s="1">
        <f>'Arkusz Wag'!D11</f>
        <v>0.04</v>
      </c>
      <c r="V11" s="1">
        <f>'Arkusz Wag'!E11</f>
        <v>3.8461538461538464E-2</v>
      </c>
    </row>
    <row r="12" spans="1:22" ht="22" x14ac:dyDescent="0.3">
      <c r="A12" s="9" t="s">
        <v>30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U12" s="1">
        <f>'Arkusz Wag'!D12</f>
        <v>0</v>
      </c>
      <c r="V12" s="1">
        <f>'Arkusz Wag'!E12</f>
        <v>0</v>
      </c>
    </row>
    <row r="13" spans="1:22" ht="22" x14ac:dyDescent="0.3">
      <c r="A13" s="9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22" ht="22" x14ac:dyDescent="0.3">
      <c r="A14" s="9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8" spans="1:19" ht="67" customHeight="1" x14ac:dyDescent="0.2">
      <c r="A18" s="5" t="s">
        <v>19</v>
      </c>
      <c r="B18" s="6">
        <f>((SUMPRODUCT(B4:B14,$U$4:$U$14)+SUMPRODUCT(B4:B14,$V$4:$V$14))/2)^2/5</f>
        <v>7.6899078106508867</v>
      </c>
      <c r="C18" s="6">
        <f t="shared" ref="C18:O18" si="0">((SUMPRODUCT(C4:C14,$U$4:$U$14)+SUMPRODUCT(C4:C14,$V$4:$V$14))/2)^2/5</f>
        <v>6.7208634319526634</v>
      </c>
      <c r="D18" s="6">
        <f t="shared" si="0"/>
        <v>6.4123456804733721</v>
      </c>
      <c r="E18" s="6">
        <f t="shared" si="0"/>
        <v>7.9807034319526622</v>
      </c>
      <c r="F18" s="6">
        <f t="shared" si="0"/>
        <v>7.3365179834319534</v>
      </c>
      <c r="G18" s="6">
        <f t="shared" si="0"/>
        <v>8.6016745857988166</v>
      </c>
      <c r="H18" s="6">
        <f t="shared" si="0"/>
        <v>7.7204649704142039</v>
      </c>
      <c r="I18" s="6">
        <f t="shared" si="0"/>
        <v>7.2610519526627231</v>
      </c>
      <c r="J18" s="6">
        <f t="shared" si="0"/>
        <v>7.6451368343195281</v>
      </c>
      <c r="K18" s="6">
        <f t="shared" si="0"/>
        <v>6.8823521893491133</v>
      </c>
      <c r="L18" s="6">
        <f t="shared" si="0"/>
        <v>3.9365747041420129</v>
      </c>
      <c r="M18" s="6">
        <f t="shared" si="0"/>
        <v>7.6327764497041413</v>
      </c>
      <c r="N18" s="6">
        <f t="shared" si="0"/>
        <v>5.6082196449704149</v>
      </c>
      <c r="O18" s="6">
        <f t="shared" si="0"/>
        <v>7.4889970414201201</v>
      </c>
      <c r="P18" s="1"/>
      <c r="Q18" s="1"/>
      <c r="R18" s="1"/>
      <c r="S18" s="1"/>
    </row>
  </sheetData>
  <mergeCells count="1">
    <mergeCell ref="A1:K2"/>
  </mergeCells>
  <conditionalFormatting sqref="B18:R18">
    <cfRule type="colorScale" priority="1">
      <colorScale>
        <cfvo type="min"/>
        <cfvo type="percentile" val="50"/>
        <cfvo type="max"/>
        <color rgb="FFF8696B"/>
        <color rgb="FFFFEB84"/>
        <color theme="9" tint="0.39997558519241921"/>
      </colorScale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 Wag</vt:lpstr>
      <vt:lpstr>Ranking Miast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Radosław Weber</dc:creator>
  <cp:lastModifiedBy>Radosław Weber</cp:lastModifiedBy>
  <dcterms:created xsi:type="dcterms:W3CDTF">2026-05-25T05:57:21Z</dcterms:created>
  <dcterms:modified xsi:type="dcterms:W3CDTF">2026-05-27T13:16:59Z</dcterms:modified>
</cp:coreProperties>
</file>